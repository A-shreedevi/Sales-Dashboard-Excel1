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39328c0890d6981c/Desktop/"/>
    </mc:Choice>
  </mc:AlternateContent>
  <xr:revisionPtr revIDLastSave="620" documentId="8_{909DAD5B-537D-4CED-8805-61EB1AAF2B5F}" xr6:coauthVersionLast="47" xr6:coauthVersionMax="47" xr10:uidLastSave="{E491E4FA-E626-4533-AEFB-7A146AA99F27}"/>
  <bookViews>
    <workbookView xWindow="-108" yWindow="-108" windowWidth="23256" windowHeight="12456" activeTab="1" xr2:uid="{5401FCA7-FFF4-434D-AEBE-52E4E6A3967D}"/>
  </bookViews>
  <sheets>
    <sheet name="Sales by Region" sheetId="3" r:id="rId1"/>
    <sheet name="Sales by Product" sheetId="4" r:id="rId2"/>
    <sheet name="Monthly Sales" sheetId="5" r:id="rId3"/>
    <sheet name="Sales Dashboard" sheetId="6" r:id="rId4"/>
    <sheet name="Sales_Data" sheetId="1" r:id="rId5"/>
  </sheets>
  <externalReferences>
    <externalReference r:id="rId6"/>
  </externalReferences>
  <definedNames>
    <definedName name="Slicer_Product">#N/A</definedName>
    <definedName name="Slicer_Region">#N/A</definedName>
    <definedName name="Slicer_salesper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 i="6" l="1"/>
  <c r="D1" i="6"/>
  <c r="B1" i="6"/>
  <c r="G3" i="1"/>
  <c r="G4" i="1"/>
  <c r="G5" i="1"/>
  <c r="G6" i="1"/>
  <c r="G7" i="1"/>
  <c r="G8" i="1"/>
  <c r="G9" i="1"/>
  <c r="G10" i="1"/>
  <c r="G11" i="1"/>
  <c r="G12" i="1"/>
  <c r="G13" i="1"/>
  <c r="G14" i="1"/>
  <c r="G15" i="1"/>
  <c r="G16" i="1"/>
  <c r="G17" i="1"/>
  <c r="G18" i="1"/>
  <c r="G19" i="1"/>
  <c r="G20" i="1"/>
  <c r="G21" i="1"/>
  <c r="G2" i="1"/>
</calcChain>
</file>

<file path=xl/sharedStrings.xml><?xml version="1.0" encoding="utf-8"?>
<sst xmlns="http://schemas.openxmlformats.org/spreadsheetml/2006/main" count="104" uniqueCount="47">
  <si>
    <t>Order Date</t>
  </si>
  <si>
    <t>Region</t>
  </si>
  <si>
    <t>Product</t>
  </si>
  <si>
    <t>salesperson</t>
  </si>
  <si>
    <t>Quantity</t>
  </si>
  <si>
    <t>Unit Price</t>
  </si>
  <si>
    <t>Total Sales</t>
  </si>
  <si>
    <t>South</t>
  </si>
  <si>
    <t>North</t>
  </si>
  <si>
    <t>East</t>
  </si>
  <si>
    <t>West</t>
  </si>
  <si>
    <t>Laptop</t>
  </si>
  <si>
    <t>Mobile</t>
  </si>
  <si>
    <t>Tablet</t>
  </si>
  <si>
    <t>Ravi</t>
  </si>
  <si>
    <t>Anita</t>
  </si>
  <si>
    <t>John</t>
  </si>
  <si>
    <t>Neha</t>
  </si>
  <si>
    <t>Karthick</t>
  </si>
  <si>
    <t>Priya</t>
  </si>
  <si>
    <t>Arjun</t>
  </si>
  <si>
    <t>Sneha</t>
  </si>
  <si>
    <t>Row Labels</t>
  </si>
  <si>
    <t>Grand Total</t>
  </si>
  <si>
    <t>Sum of Total Sales</t>
  </si>
  <si>
    <t>Jan</t>
  </si>
  <si>
    <t>2-Jan</t>
  </si>
  <si>
    <t>14-Jan</t>
  </si>
  <si>
    <t>5-Jan</t>
  </si>
  <si>
    <t>17-Jan</t>
  </si>
  <si>
    <t>8-Jan</t>
  </si>
  <si>
    <t>20-Jan</t>
  </si>
  <si>
    <t>11-Jan</t>
  </si>
  <si>
    <t>3-Jan</t>
  </si>
  <si>
    <t>15-Jan</t>
  </si>
  <si>
    <t>4-Jan</t>
  </si>
  <si>
    <t>12-Jan</t>
  </si>
  <si>
    <t>16-Jan</t>
  </si>
  <si>
    <t>FTHVGHHBNM</t>
  </si>
  <si>
    <t>6-Jan</t>
  </si>
  <si>
    <t>10-Jan</t>
  </si>
  <si>
    <t>18-Jan</t>
  </si>
  <si>
    <t>7-Jan</t>
  </si>
  <si>
    <t>19-Jan</t>
  </si>
  <si>
    <t>1-Jan</t>
  </si>
  <si>
    <t>9-Jan</t>
  </si>
  <si>
    <t>13-Jan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</si>
</sst>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00"/>
  </numFmts>
  <fonts count="4" x14ac:knownFonts="1">
    <font>
      <sz val="11"/>
      <color theme="1"/>
      <name val="Calibri"/>
      <family val="2"/>
      <scheme val="minor"/>
    </font>
    <font>
      <b/>
      <sz val="12"/>
      <color theme="1"/>
      <name val="Calibri"/>
      <family val="2"/>
      <scheme val="minor"/>
    </font>
    <font>
      <sz val="11"/>
      <color rgb="FF000000"/>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applyAlignment="1">
      <alignment horizontal="left" vertical="center"/>
    </xf>
    <xf numFmtId="166" fontId="0" fillId="0" borderId="0" xfId="0" applyNumberFormat="1"/>
    <xf numFmtId="0" fontId="3" fillId="0" borderId="0" xfId="0" applyFont="1"/>
    <xf numFmtId="0" fontId="0" fillId="0" borderId="0" xfId="0" applyNumberFormat="1"/>
  </cellXfs>
  <cellStyles count="1">
    <cellStyle name="Normal" xfId="0" builtinId="0"/>
  </cellStyles>
  <dxfs count="2">
    <dxf>
      <numFmt numFmtId="19" formatCode="m/d/yyyy"/>
    </dxf>
    <dxf>
      <font>
        <b/>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by Region!PivotTable1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by Region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East</c:v>
                </c:pt>
                <c:pt idx="1">
                  <c:v>North</c:v>
                </c:pt>
                <c:pt idx="2">
                  <c:v>South</c:v>
                </c:pt>
                <c:pt idx="3">
                  <c:v>West</c:v>
                </c:pt>
              </c:strCache>
            </c:strRef>
          </c:cat>
          <c:val>
            <c:numRef>
              <c:f>'Sales by Region'!$B$4:$B$8</c:f>
              <c:numCache>
                <c:formatCode>General</c:formatCode>
                <c:ptCount val="4"/>
                <c:pt idx="0">
                  <c:v>227000</c:v>
                </c:pt>
                <c:pt idx="1">
                  <c:v>304000</c:v>
                </c:pt>
                <c:pt idx="2">
                  <c:v>384500</c:v>
                </c:pt>
                <c:pt idx="3">
                  <c:v>335000</c:v>
                </c:pt>
              </c:numCache>
            </c:numRef>
          </c:val>
          <c:extLst>
            <c:ext xmlns:c16="http://schemas.microsoft.com/office/drawing/2014/chart" uri="{C3380CC4-5D6E-409C-BE32-E72D297353CC}">
              <c16:uniqueId val="{00000000-3422-484A-BCCE-11AAAD4A39D7}"/>
            </c:ext>
          </c:extLst>
        </c:ser>
        <c:dLbls>
          <c:showLegendKey val="0"/>
          <c:showVal val="0"/>
          <c:showCatName val="0"/>
          <c:showSerName val="0"/>
          <c:showPercent val="0"/>
          <c:showBubbleSize val="0"/>
        </c:dLbls>
        <c:gapWidth val="219"/>
        <c:overlap val="-27"/>
        <c:axId val="861162607"/>
        <c:axId val="861163087"/>
      </c:barChart>
      <c:catAx>
        <c:axId val="86116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163087"/>
        <c:crosses val="autoZero"/>
        <c:auto val="1"/>
        <c:lblAlgn val="ctr"/>
        <c:lblOffset val="100"/>
        <c:noMultiLvlLbl val="0"/>
      </c:catAx>
      <c:valAx>
        <c:axId val="86116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16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by Product!PivotTable2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by Product</a:t>
            </a:r>
            <a:endParaRPr lang="en-US" sz="1600" b="1">
              <a:solidFill>
                <a:schemeClr val="tx1"/>
              </a:solidFill>
            </a:endParaRPr>
          </a:p>
        </c:rich>
      </c:tx>
      <c:layout>
        <c:manualLayout>
          <c:xMode val="edge"/>
          <c:yMode val="edge"/>
          <c:x val="0.37546522309711289"/>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Product'!$B$3</c:f>
              <c:strCache>
                <c:ptCount val="1"/>
                <c:pt idx="0">
                  <c:v>Total</c:v>
                </c:pt>
              </c:strCache>
            </c:strRef>
          </c:tx>
          <c:spPr>
            <a:solidFill>
              <a:schemeClr val="accent1"/>
            </a:solidFill>
            <a:ln>
              <a:noFill/>
            </a:ln>
            <a:effectLst/>
          </c:spPr>
          <c:invertIfNegative val="0"/>
          <c:cat>
            <c:strRef>
              <c:f>'Sales by Product'!$A$4:$A$7</c:f>
              <c:strCache>
                <c:ptCount val="3"/>
                <c:pt idx="0">
                  <c:v>Laptop</c:v>
                </c:pt>
                <c:pt idx="1">
                  <c:v>Mobile</c:v>
                </c:pt>
                <c:pt idx="2">
                  <c:v>Tablet</c:v>
                </c:pt>
              </c:strCache>
            </c:strRef>
          </c:cat>
          <c:val>
            <c:numRef>
              <c:f>'Sales by Product'!$B$4:$B$7</c:f>
              <c:numCache>
                <c:formatCode>General</c:formatCode>
                <c:ptCount val="3"/>
                <c:pt idx="0">
                  <c:v>100000</c:v>
                </c:pt>
                <c:pt idx="1">
                  <c:v>55500</c:v>
                </c:pt>
                <c:pt idx="2">
                  <c:v>58000</c:v>
                </c:pt>
              </c:numCache>
            </c:numRef>
          </c:val>
          <c:extLst>
            <c:ext xmlns:c16="http://schemas.microsoft.com/office/drawing/2014/chart" uri="{C3380CC4-5D6E-409C-BE32-E72D297353CC}">
              <c16:uniqueId val="{00000000-2824-47B1-974D-6E3A36F9DAA7}"/>
            </c:ext>
          </c:extLst>
        </c:ser>
        <c:dLbls>
          <c:showLegendKey val="0"/>
          <c:showVal val="0"/>
          <c:showCatName val="0"/>
          <c:showSerName val="0"/>
          <c:showPercent val="0"/>
          <c:showBubbleSize val="0"/>
        </c:dLbls>
        <c:gapWidth val="182"/>
        <c:axId val="1292053023"/>
        <c:axId val="1292053503"/>
      </c:barChart>
      <c:catAx>
        <c:axId val="129205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053503"/>
        <c:crosses val="autoZero"/>
        <c:auto val="1"/>
        <c:lblAlgn val="ctr"/>
        <c:lblOffset val="100"/>
        <c:noMultiLvlLbl val="0"/>
      </c:catAx>
      <c:valAx>
        <c:axId val="1292053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05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Monthly</a:t>
            </a:r>
            <a:r>
              <a:rPr lang="en-US" sz="1600" b="1" baseline="0">
                <a:solidFill>
                  <a:schemeClr val="tx1"/>
                </a:solidFill>
              </a:rPr>
              <a:t> Sales Trend</a:t>
            </a:r>
            <a:endParaRPr lang="en-US" sz="1600" b="1">
              <a:solidFill>
                <a:schemeClr val="tx1"/>
              </a:solidFill>
            </a:endParaRPr>
          </a:p>
        </c:rich>
      </c:tx>
      <c:layout>
        <c:manualLayout>
          <c:xMode val="edge"/>
          <c:yMode val="edge"/>
          <c:x val="0.30525783399071421"/>
          <c:y val="0.103228688433489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Sales'!$A$4:$A$25</c:f>
              <c:multiLvlStrCache>
                <c:ptCount val="20"/>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lvl>
                <c:lvl>
                  <c:pt idx="0">
                    <c:v>Jan</c:v>
                  </c:pt>
                </c:lvl>
              </c:multiLvlStrCache>
            </c:multiLvlStrRef>
          </c:cat>
          <c:val>
            <c:numRef>
              <c:f>'Monthly Sales'!$B$4:$B$25</c:f>
              <c:numCache>
                <c:formatCode>General</c:formatCode>
                <c:ptCount val="20"/>
                <c:pt idx="0">
                  <c:v>100000</c:v>
                </c:pt>
                <c:pt idx="1">
                  <c:v>60000</c:v>
                </c:pt>
                <c:pt idx="2">
                  <c:v>30000</c:v>
                </c:pt>
                <c:pt idx="3">
                  <c:v>52000</c:v>
                </c:pt>
                <c:pt idx="4">
                  <c:v>72000</c:v>
                </c:pt>
                <c:pt idx="5">
                  <c:v>56000</c:v>
                </c:pt>
                <c:pt idx="6">
                  <c:v>51000</c:v>
                </c:pt>
                <c:pt idx="7">
                  <c:v>95000</c:v>
                </c:pt>
                <c:pt idx="8">
                  <c:v>58000</c:v>
                </c:pt>
                <c:pt idx="9">
                  <c:v>53000</c:v>
                </c:pt>
                <c:pt idx="10">
                  <c:v>63000</c:v>
                </c:pt>
                <c:pt idx="11">
                  <c:v>54000</c:v>
                </c:pt>
                <c:pt idx="12">
                  <c:v>99000</c:v>
                </c:pt>
                <c:pt idx="13">
                  <c:v>78000</c:v>
                </c:pt>
                <c:pt idx="14">
                  <c:v>31000</c:v>
                </c:pt>
                <c:pt idx="15">
                  <c:v>54000</c:v>
                </c:pt>
                <c:pt idx="16">
                  <c:v>55500</c:v>
                </c:pt>
                <c:pt idx="17">
                  <c:v>57000</c:v>
                </c:pt>
                <c:pt idx="18">
                  <c:v>52000</c:v>
                </c:pt>
                <c:pt idx="19">
                  <c:v>80000</c:v>
                </c:pt>
              </c:numCache>
            </c:numRef>
          </c:val>
          <c:smooth val="0"/>
          <c:extLst>
            <c:ext xmlns:c16="http://schemas.microsoft.com/office/drawing/2014/chart" uri="{C3380CC4-5D6E-409C-BE32-E72D297353CC}">
              <c16:uniqueId val="{00000000-5DD4-4A6C-838C-E9D9043D5333}"/>
            </c:ext>
          </c:extLst>
        </c:ser>
        <c:dLbls>
          <c:showLegendKey val="0"/>
          <c:showVal val="0"/>
          <c:showCatName val="0"/>
          <c:showSerName val="0"/>
          <c:showPercent val="0"/>
          <c:showBubbleSize val="0"/>
        </c:dLbls>
        <c:marker val="1"/>
        <c:smooth val="0"/>
        <c:axId val="447234655"/>
        <c:axId val="447235135"/>
      </c:lineChart>
      <c:catAx>
        <c:axId val="44723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235135"/>
        <c:crosses val="autoZero"/>
        <c:auto val="1"/>
        <c:lblAlgn val="ctr"/>
        <c:lblOffset val="100"/>
        <c:noMultiLvlLbl val="0"/>
      </c:catAx>
      <c:valAx>
        <c:axId val="44723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23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99060</xdr:colOff>
      <xdr:row>10</xdr:row>
      <xdr:rowOff>106680</xdr:rowOff>
    </xdr:from>
    <xdr:to>
      <xdr:col>6</xdr:col>
      <xdr:colOff>68580</xdr:colOff>
      <xdr:row>23</xdr:row>
      <xdr:rowOff>114300</xdr:rowOff>
    </xdr:to>
    <xdr:graphicFrame macro="">
      <xdr:nvGraphicFramePr>
        <xdr:cNvPr id="3" name="Chart 2">
          <a:extLst>
            <a:ext uri="{FF2B5EF4-FFF2-40B4-BE49-F238E27FC236}">
              <a16:creationId xmlns:a16="http://schemas.microsoft.com/office/drawing/2014/main" id="{4786B6F0-E07C-4867-82C0-B8AD3758E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586740</xdr:colOff>
      <xdr:row>0</xdr:row>
      <xdr:rowOff>7620</xdr:rowOff>
    </xdr:from>
    <xdr:to>
      <xdr:col>22</xdr:col>
      <xdr:colOff>91440</xdr:colOff>
      <xdr:row>12</xdr:row>
      <xdr:rowOff>106680</xdr:rowOff>
    </xdr:to>
    <xdr:graphicFrame macro="">
      <xdr:nvGraphicFramePr>
        <xdr:cNvPr id="5" name="Chart 4">
          <a:extLst>
            <a:ext uri="{FF2B5EF4-FFF2-40B4-BE49-F238E27FC236}">
              <a16:creationId xmlns:a16="http://schemas.microsoft.com/office/drawing/2014/main" id="{B2CDEA02-4B89-473A-8DF2-E34E67A59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228600</xdr:colOff>
      <xdr:row>13</xdr:row>
      <xdr:rowOff>129540</xdr:rowOff>
    </xdr:from>
    <xdr:to>
      <xdr:col>17</xdr:col>
      <xdr:colOff>358140</xdr:colOff>
      <xdr:row>26</xdr:row>
      <xdr:rowOff>121920</xdr:rowOff>
    </xdr:to>
    <xdr:graphicFrame macro="">
      <xdr:nvGraphicFramePr>
        <xdr:cNvPr id="7" name="Chart 6">
          <a:extLst>
            <a:ext uri="{FF2B5EF4-FFF2-40B4-BE49-F238E27FC236}">
              <a16:creationId xmlns:a16="http://schemas.microsoft.com/office/drawing/2014/main" id="{E326FBE9-A90B-49B9-8640-93B4DAA36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335280</xdr:colOff>
      <xdr:row>13</xdr:row>
      <xdr:rowOff>167640</xdr:rowOff>
    </xdr:from>
    <xdr:to>
      <xdr:col>21</xdr:col>
      <xdr:colOff>472440</xdr:colOff>
      <xdr:row>26</xdr:row>
      <xdr:rowOff>83819</xdr:rowOff>
    </xdr:to>
    <mc:AlternateContent xmlns:mc="http://schemas.openxmlformats.org/markup-compatibility/2006">
      <mc:Choice xmlns:a14="http://schemas.microsoft.com/office/drawing/2010/main" Requires="a14">
        <xdr:graphicFrame macro="">
          <xdr:nvGraphicFramePr>
            <xdr:cNvPr id="11" name="salesperson">
              <a:extLst>
                <a:ext uri="{FF2B5EF4-FFF2-40B4-BE49-F238E27FC236}">
                  <a16:creationId xmlns:a16="http://schemas.microsoft.com/office/drawing/2014/main" id="{3A61338E-3C44-48A8-9892-8A97C9B8EA8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1597640" y="2545080"/>
              <a:ext cx="1965960" cy="2293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175260</xdr:colOff>
      <xdr:row>0</xdr:row>
      <xdr:rowOff>152401</xdr:rowOff>
    </xdr:from>
    <xdr:to>
      <xdr:col>14</xdr:col>
      <xdr:colOff>228600</xdr:colOff>
      <xdr:row>12</xdr:row>
      <xdr:rowOff>114300</xdr:rowOff>
    </xdr:to>
    <mc:AlternateContent xmlns:mc="http://schemas.openxmlformats.org/markup-compatibility/2006">
      <mc:Choice xmlns:a14="http://schemas.microsoft.com/office/drawing/2010/main" Requires="a14">
        <xdr:graphicFrame macro="">
          <xdr:nvGraphicFramePr>
            <xdr:cNvPr id="13" name="Product">
              <a:extLst>
                <a:ext uri="{FF2B5EF4-FFF2-40B4-BE49-F238E27FC236}">
                  <a16:creationId xmlns:a16="http://schemas.microsoft.com/office/drawing/2014/main" id="{3EADCEC3-3718-4EFA-97E7-E65908A4FA4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170420" y="152401"/>
              <a:ext cx="1882140" cy="2156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411480</xdr:colOff>
      <xdr:row>10</xdr:row>
      <xdr:rowOff>175260</xdr:rowOff>
    </xdr:from>
    <xdr:to>
      <xdr:col>9</xdr:col>
      <xdr:colOff>441960</xdr:colOff>
      <xdr:row>23</xdr:row>
      <xdr:rowOff>53340</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6988E64A-5D4E-4657-B7ED-2E25C92A6C5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58640" y="2004060"/>
              <a:ext cx="1859280" cy="2255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152400</xdr:colOff>
      <xdr:row>0</xdr:row>
      <xdr:rowOff>0</xdr:rowOff>
    </xdr:from>
    <xdr:to>
      <xdr:col>3</xdr:col>
      <xdr:colOff>274320</xdr:colOff>
      <xdr:row>0</xdr:row>
      <xdr:rowOff>0</xdr:rowOff>
    </xdr:to>
    <xdr:sp macro="" textlink="">
      <xdr:nvSpPr>
        <xdr:cNvPr id="4" name="TextBox 3">
          <a:extLst>
            <a:ext uri="{FF2B5EF4-FFF2-40B4-BE49-F238E27FC236}">
              <a16:creationId xmlns:a16="http://schemas.microsoft.com/office/drawing/2014/main" id="{814109D3-7ECD-1C6F-C10D-7FFA09059D61}"/>
            </a:ext>
          </a:extLst>
        </xdr:cNvPr>
        <xdr:cNvSpPr txBox="1"/>
      </xdr:nvSpPr>
      <xdr:spPr>
        <a:xfrm flipV="1">
          <a:off x="1615440" y="0"/>
          <a:ext cx="731520"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198120</xdr:colOff>
      <xdr:row>2</xdr:row>
      <xdr:rowOff>38100</xdr:rowOff>
    </xdr:from>
    <xdr:to>
      <xdr:col>2</xdr:col>
      <xdr:colOff>586740</xdr:colOff>
      <xdr:row>6</xdr:row>
      <xdr:rowOff>30480</xdr:rowOff>
    </xdr:to>
    <xdr:sp macro="" textlink="$B$1">
      <xdr:nvSpPr>
        <xdr:cNvPr id="6" name="Rectangle 5">
          <a:extLst>
            <a:ext uri="{FF2B5EF4-FFF2-40B4-BE49-F238E27FC236}">
              <a16:creationId xmlns:a16="http://schemas.microsoft.com/office/drawing/2014/main" id="{BF441504-8F17-CCA5-D7EE-CA0018BFAA81}"/>
            </a:ext>
          </a:extLst>
        </xdr:cNvPr>
        <xdr:cNvSpPr/>
      </xdr:nvSpPr>
      <xdr:spPr>
        <a:xfrm>
          <a:off x="198120" y="403860"/>
          <a:ext cx="1851660" cy="723900"/>
        </a:xfrm>
        <a:prstGeom prst="rect">
          <a:avLst/>
        </a:prstGeom>
        <a:solidFill>
          <a:schemeClr val="accent6">
            <a:lumMod val="20000"/>
            <a:lumOff val="80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rtlCol="0" anchor="ctr" anchorCtr="1"/>
        <a:lstStyle/>
        <a:p>
          <a:pPr algn="l"/>
          <a:r>
            <a:rPr lang="en-US" sz="1400" b="1" i="0" u="none" strike="noStrike" baseline="0">
              <a:solidFill>
                <a:srgbClr val="000000"/>
              </a:solidFill>
              <a:latin typeface="Calibri"/>
              <a:ea typeface="Calibri"/>
              <a:cs typeface="Calibri"/>
            </a:rPr>
            <a:t>TOTAL SALES</a:t>
          </a:r>
        </a:p>
        <a:p>
          <a:pPr algn="l"/>
          <a:fld id="{CF9D41DA-DC80-4EF8-8153-FFB8AD1EFBE6}" type="TxLink">
            <a:rPr lang="en-US" sz="1100" b="0" i="0" u="none" strike="noStrike">
              <a:solidFill>
                <a:srgbClr val="000000"/>
              </a:solidFill>
              <a:latin typeface="Calibri"/>
              <a:ea typeface="Calibri"/>
              <a:cs typeface="Calibri"/>
            </a:rPr>
            <a:t>$1,250,500.00</a:t>
          </a:fld>
          <a:endParaRPr lang="en-US" sz="1100">
            <a:solidFill>
              <a:schemeClr val="tx1"/>
            </a:solidFill>
          </a:endParaRPr>
        </a:p>
      </xdr:txBody>
    </xdr:sp>
    <xdr:clientData/>
  </xdr:twoCellAnchor>
  <xdr:twoCellAnchor>
    <xdr:from>
      <xdr:col>7</xdr:col>
      <xdr:colOff>15240</xdr:colOff>
      <xdr:row>2</xdr:row>
      <xdr:rowOff>15240</xdr:rowOff>
    </xdr:from>
    <xdr:to>
      <xdr:col>10</xdr:col>
      <xdr:colOff>297180</xdr:colOff>
      <xdr:row>6</xdr:row>
      <xdr:rowOff>7620</xdr:rowOff>
    </xdr:to>
    <xdr:sp macro="" textlink="$D$1">
      <xdr:nvSpPr>
        <xdr:cNvPr id="10" name="Rectangle 9">
          <a:extLst>
            <a:ext uri="{FF2B5EF4-FFF2-40B4-BE49-F238E27FC236}">
              <a16:creationId xmlns:a16="http://schemas.microsoft.com/office/drawing/2014/main" id="{28FF9A85-5F99-507A-8949-52839F693E59}"/>
            </a:ext>
          </a:extLst>
        </xdr:cNvPr>
        <xdr:cNvSpPr/>
      </xdr:nvSpPr>
      <xdr:spPr>
        <a:xfrm>
          <a:off x="4572000" y="381000"/>
          <a:ext cx="2110740" cy="7239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5875">
          <a:solidFill>
            <a:schemeClr val="accent1">
              <a:shade val="15000"/>
              <a:alpha val="9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lIns="182880" tIns="182880" rIns="731520" bIns="91440" rtlCol="0" anchor="t" anchorCtr="0"/>
        <a:lstStyle/>
        <a:p>
          <a:pPr algn="l"/>
          <a:r>
            <a:rPr lang="en-US" sz="1400" b="1" i="0" u="none" strike="noStrike">
              <a:ln>
                <a:noFill/>
              </a:ln>
              <a:solidFill>
                <a:schemeClr val="tx1"/>
              </a:solidFill>
              <a:latin typeface="Calibri"/>
              <a:ea typeface="Calibri"/>
              <a:cs typeface="Calibri"/>
            </a:rPr>
            <a:t>TOTAL</a:t>
          </a:r>
          <a:r>
            <a:rPr lang="en-US" sz="1400" b="1" i="0" u="none" strike="noStrike" baseline="0">
              <a:ln>
                <a:noFill/>
              </a:ln>
              <a:solidFill>
                <a:schemeClr val="tx1"/>
              </a:solidFill>
              <a:latin typeface="Calibri"/>
              <a:ea typeface="Calibri"/>
              <a:cs typeface="Calibri"/>
            </a:rPr>
            <a:t> QUALITY</a:t>
          </a:r>
          <a:endParaRPr lang="en-US" sz="1400" b="1" i="0" u="none" strike="noStrike">
            <a:ln>
              <a:noFill/>
            </a:ln>
            <a:solidFill>
              <a:schemeClr val="tx1"/>
            </a:solidFill>
            <a:latin typeface="Calibri"/>
            <a:ea typeface="Calibri"/>
            <a:cs typeface="Calibri"/>
          </a:endParaRPr>
        </a:p>
        <a:p>
          <a:pPr algn="l"/>
          <a:fld id="{1F43815F-1C20-4D10-A4C0-D41133775549}" type="TxLink">
            <a:rPr lang="en-US" sz="1100" b="0" i="0" u="none" strike="noStrike">
              <a:ln>
                <a:noFill/>
              </a:ln>
              <a:solidFill>
                <a:schemeClr val="tx1"/>
              </a:solidFill>
              <a:latin typeface="Calibri"/>
              <a:ea typeface="Calibri"/>
              <a:cs typeface="Calibri"/>
            </a:rPr>
            <a:t>45</a:t>
          </a:fld>
          <a:endParaRPr lang="en-US" sz="1100">
            <a:ln>
              <a:noFill/>
            </a:ln>
            <a:solidFill>
              <a:schemeClr val="tx1"/>
            </a:solidFill>
          </a:endParaRPr>
        </a:p>
      </xdr:txBody>
    </xdr:sp>
    <xdr:clientData/>
  </xdr:twoCellAnchor>
  <xdr:twoCellAnchor>
    <xdr:from>
      <xdr:col>3</xdr:col>
      <xdr:colOff>274320</xdr:colOff>
      <xdr:row>2</xdr:row>
      <xdr:rowOff>22860</xdr:rowOff>
    </xdr:from>
    <xdr:to>
      <xdr:col>6</xdr:col>
      <xdr:colOff>327660</xdr:colOff>
      <xdr:row>6</xdr:row>
      <xdr:rowOff>0</xdr:rowOff>
    </xdr:to>
    <xdr:sp macro="" textlink="$F$1">
      <xdr:nvSpPr>
        <xdr:cNvPr id="14" name="Rectangle 13">
          <a:extLst>
            <a:ext uri="{FF2B5EF4-FFF2-40B4-BE49-F238E27FC236}">
              <a16:creationId xmlns:a16="http://schemas.microsoft.com/office/drawing/2014/main" id="{FAB7C954-210E-24BA-BD1C-BC55B60CE4F8}"/>
            </a:ext>
          </a:extLst>
        </xdr:cNvPr>
        <xdr:cNvSpPr/>
      </xdr:nvSpPr>
      <xdr:spPr>
        <a:xfrm>
          <a:off x="2346960" y="388620"/>
          <a:ext cx="1927860" cy="708660"/>
        </a:xfrm>
        <a:prstGeom prst="rect">
          <a:avLst/>
        </a:prstGeom>
        <a:solidFill>
          <a:schemeClr val="accent3"/>
        </a:solidFill>
        <a:ln w="15875">
          <a:solidFill>
            <a:schemeClr val="tx1">
              <a:alpha val="93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0"/>
        <a:lstStyle/>
        <a:p>
          <a:pPr algn="l"/>
          <a:r>
            <a:rPr lang="en-US" sz="1400" b="1" i="0" u="none" strike="noStrike">
              <a:ln w="9525">
                <a:noFill/>
              </a:ln>
              <a:solidFill>
                <a:srgbClr val="000000"/>
              </a:solidFill>
              <a:latin typeface="Calibri"/>
              <a:ea typeface="Calibri"/>
              <a:cs typeface="Calibri"/>
            </a:rPr>
            <a:t>TOTAL ORDERS</a:t>
          </a:r>
        </a:p>
        <a:p>
          <a:pPr algn="l"/>
          <a:fld id="{9700CCFA-A149-456E-AB76-0F15DD85F562}" type="TxLink">
            <a:rPr lang="en-US" sz="1100" b="0" i="0" u="none" strike="noStrike">
              <a:ln w="9525">
                <a:noFill/>
              </a:ln>
              <a:solidFill>
                <a:srgbClr val="000000"/>
              </a:solidFill>
              <a:latin typeface="Calibri"/>
              <a:ea typeface="Calibri"/>
              <a:cs typeface="Calibri"/>
            </a:rPr>
            <a:t>20</a:t>
          </a:fld>
          <a:endParaRPr lang="en-US" sz="1100">
            <a:ln w="9525">
              <a:noFill/>
            </a:ln>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able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6034.827636921298" createdVersion="8" refreshedVersion="8" minRefreshableVersion="3" recordCount="20" xr:uid="{6BF3F55D-D6D3-4858-B6B3-D47FC8795CC6}">
  <cacheSource type="worksheet">
    <worksheetSource name="Table1"/>
  </cacheSource>
  <cacheFields count="9">
    <cacheField name="Order Date" numFmtId="14">
      <sharedItems containsSemiMixedTypes="0" containsNonDate="0" containsDate="1" containsString="0" minDate="2025-01-01T00:00:00" maxDate="2025-01-21T00:00:00" count="2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sharedItems>
      <fieldGroup par="8"/>
    </cacheField>
    <cacheField name="Region" numFmtId="0">
      <sharedItems count="4">
        <s v="South"/>
        <s v="North"/>
        <s v="East"/>
        <s v="West"/>
      </sharedItems>
    </cacheField>
    <cacheField name="Product" numFmtId="0">
      <sharedItems count="3">
        <s v="Laptop"/>
        <s v="Mobile"/>
        <s v="Tablet"/>
      </sharedItems>
    </cacheField>
    <cacheField name="salesperson" numFmtId="0">
      <sharedItems count="8">
        <s v="Ravi"/>
        <s v="Anita"/>
        <s v="John"/>
        <s v="Neha"/>
        <s v="Karthick"/>
        <s v="Priya"/>
        <s v="Arjun"/>
        <s v="Sneha"/>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18000" maxValue="54000"/>
    </cacheField>
    <cacheField name="Total Sales" numFmtId="0">
      <sharedItems containsSemiMixedTypes="0" containsString="0" containsNumber="1" containsInteger="1" minValue="30000" maxValue="100000"/>
    </cacheField>
    <cacheField name="Days (Order Date)" numFmtId="0" databaseField="0">
      <fieldGroup base="0">
        <rangePr groupBy="days" startDate="2025-01-01T00:00:00" endDate="2025-01-2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2025"/>
        </groupItems>
      </fieldGroup>
    </cacheField>
    <cacheField name="Months (Order Date)" numFmtId="0" databaseField="0">
      <fieldGroup base="0">
        <rangePr groupBy="months" startDate="2025-01-01T00:00:00" endDate="2025-01-21T00:00:00"/>
        <groupItems count="14">
          <s v="&lt;1/1/2025"/>
          <s v="Jan"/>
          <s v="Feb"/>
          <s v="Mar"/>
          <s v="Apr"/>
          <s v="May"/>
          <s v="Jun"/>
          <s v="Jul"/>
          <s v="Aug"/>
          <s v="Sep"/>
          <s v="Oct"/>
          <s v="Nov"/>
          <s v="Dec"/>
          <s v="&gt;1/21/2025"/>
        </groupItems>
      </fieldGroup>
    </cacheField>
  </cacheFields>
  <extLst>
    <ext xmlns:x14="http://schemas.microsoft.com/office/spreadsheetml/2009/9/main" uri="{725AE2AE-9491-48be-B2B4-4EB974FC3084}">
      <x14:pivotCacheDefinition pivotCacheId="395611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2"/>
    <n v="50000"/>
    <n v="100000"/>
  </r>
  <r>
    <x v="1"/>
    <x v="1"/>
    <x v="1"/>
    <x v="1"/>
    <n v="3"/>
    <n v="20000"/>
    <n v="60000"/>
  </r>
  <r>
    <x v="2"/>
    <x v="2"/>
    <x v="2"/>
    <x v="2"/>
    <n v="1"/>
    <n v="30000"/>
    <n v="30000"/>
  </r>
  <r>
    <x v="3"/>
    <x v="3"/>
    <x v="0"/>
    <x v="3"/>
    <n v="1"/>
    <n v="52000"/>
    <n v="52000"/>
  </r>
  <r>
    <x v="4"/>
    <x v="0"/>
    <x v="1"/>
    <x v="4"/>
    <n v="4"/>
    <n v="18000"/>
    <n v="72000"/>
  </r>
  <r>
    <x v="5"/>
    <x v="1"/>
    <x v="2"/>
    <x v="5"/>
    <n v="2"/>
    <n v="28000"/>
    <n v="56000"/>
  </r>
  <r>
    <x v="6"/>
    <x v="2"/>
    <x v="0"/>
    <x v="6"/>
    <n v="1"/>
    <n v="51000"/>
    <n v="51000"/>
  </r>
  <r>
    <x v="7"/>
    <x v="3"/>
    <x v="1"/>
    <x v="7"/>
    <n v="5"/>
    <n v="19000"/>
    <n v="95000"/>
  </r>
  <r>
    <x v="8"/>
    <x v="0"/>
    <x v="2"/>
    <x v="0"/>
    <n v="2"/>
    <n v="29000"/>
    <n v="58000"/>
  </r>
  <r>
    <x v="9"/>
    <x v="1"/>
    <x v="0"/>
    <x v="1"/>
    <n v="1"/>
    <n v="53000"/>
    <n v="53000"/>
  </r>
  <r>
    <x v="10"/>
    <x v="2"/>
    <x v="1"/>
    <x v="2"/>
    <n v="3"/>
    <n v="21000"/>
    <n v="63000"/>
  </r>
  <r>
    <x v="11"/>
    <x v="3"/>
    <x v="2"/>
    <x v="3"/>
    <n v="2"/>
    <n v="27000"/>
    <n v="54000"/>
  </r>
  <r>
    <x v="12"/>
    <x v="0"/>
    <x v="0"/>
    <x v="4"/>
    <n v="2"/>
    <n v="49500"/>
    <n v="99000"/>
  </r>
  <r>
    <x v="13"/>
    <x v="1"/>
    <x v="1"/>
    <x v="5"/>
    <n v="4"/>
    <n v="19500"/>
    <n v="78000"/>
  </r>
  <r>
    <x v="14"/>
    <x v="2"/>
    <x v="2"/>
    <x v="6"/>
    <n v="1"/>
    <n v="31000"/>
    <n v="31000"/>
  </r>
  <r>
    <x v="15"/>
    <x v="3"/>
    <x v="0"/>
    <x v="7"/>
    <n v="1"/>
    <n v="54000"/>
    <n v="54000"/>
  </r>
  <r>
    <x v="16"/>
    <x v="0"/>
    <x v="1"/>
    <x v="0"/>
    <n v="3"/>
    <n v="18500"/>
    <n v="55500"/>
  </r>
  <r>
    <x v="17"/>
    <x v="1"/>
    <x v="2"/>
    <x v="1"/>
    <n v="2"/>
    <n v="28500"/>
    <n v="57000"/>
  </r>
  <r>
    <x v="18"/>
    <x v="2"/>
    <x v="0"/>
    <x v="2"/>
    <n v="1"/>
    <n v="52000"/>
    <n v="52000"/>
  </r>
  <r>
    <x v="19"/>
    <x v="3"/>
    <x v="1"/>
    <x v="3"/>
    <n v="4"/>
    <n v="20000"/>
    <n v="8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AA0029-2138-43D2-94DD-96520DA800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9">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1"/>
        <item x="0"/>
        <item x="3"/>
        <item t="default"/>
      </items>
    </pivotField>
    <pivotField showAll="0">
      <items count="4">
        <item x="0"/>
        <item x="1"/>
        <item x="2"/>
        <item t="default"/>
      </items>
    </pivotField>
    <pivotField showAll="0">
      <items count="9">
        <item h="1" x="1"/>
        <item x="6"/>
        <item h="1" x="2"/>
        <item h="1" x="4"/>
        <item h="1" x="3"/>
        <item h="1" x="5"/>
        <item h="1" x="0"/>
        <item h="1" x="7"/>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Total Sales" fld="6"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BC0C89-B346-43BC-826B-3874B6C4CE9D}" name="PivotTable2" cacheId="0" applyNumberFormats="0" applyBorderFormats="0" applyFontFormats="0" applyPatternFormats="0" applyAlignmentFormats="0" applyWidthHeightFormats="1" dataCaption="Values" grandTotalCaption="FTHVGHHBNM" updatedVersion="8" minRefreshableVersion="3" useAutoFormatting="1" itemPrintTitles="1" createdVersion="8" indent="0" outline="1" outlineData="1" multipleFieldFilters="0" chartFormat="16">
  <location ref="A3:B7" firstHeaderRow="1" firstDataRow="1" firstDataCol="1"/>
  <pivotFields count="9">
    <pivotField numFmtId="14" showAll="0">
      <items count="21">
        <item x="0"/>
        <item x="1"/>
        <item x="2"/>
        <item x="3"/>
        <item x="4"/>
        <item x="5"/>
        <item x="6"/>
        <item x="7"/>
        <item x="8"/>
        <item x="9"/>
        <item x="10"/>
        <item x="11"/>
        <item x="12"/>
        <item x="13"/>
        <item x="14"/>
        <item x="15"/>
        <item x="16"/>
        <item x="17"/>
        <item x="18"/>
        <item x="19"/>
        <item t="default"/>
      </items>
    </pivotField>
    <pivotField showAll="0">
      <items count="5">
        <item x="2"/>
        <item x="1"/>
        <item x="0"/>
        <item x="3"/>
        <item t="default"/>
      </items>
    </pivotField>
    <pivotField axis="axisRow" showAll="0">
      <items count="4">
        <item x="0"/>
        <item x="1"/>
        <item x="2"/>
        <item t="default"/>
      </items>
    </pivotField>
    <pivotField showAll="0">
      <items count="9">
        <item h="1" x="1"/>
        <item h="1" x="6"/>
        <item h="1" x="2"/>
        <item h="1" x="4"/>
        <item h="1" x="3"/>
        <item h="1" x="5"/>
        <item x="0"/>
        <item h="1" x="7"/>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Total Sales" fld="6"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04CEBB-5395-41D8-9171-BB982DC977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25" firstHeaderRow="1" firstDataRow="1" firstDataCol="1"/>
  <pivotFields count="9">
    <pivotField numFmtId="14" showAll="0">
      <items count="21">
        <item x="0"/>
        <item x="1"/>
        <item x="2"/>
        <item x="3"/>
        <item x="4"/>
        <item x="5"/>
        <item x="6"/>
        <item x="7"/>
        <item x="8"/>
        <item x="9"/>
        <item x="10"/>
        <item x="11"/>
        <item x="12"/>
        <item x="13"/>
        <item x="14"/>
        <item x="15"/>
        <item x="16"/>
        <item x="17"/>
        <item x="18"/>
        <item x="19"/>
        <item t="default"/>
      </items>
    </pivotField>
    <pivotField showAll="0">
      <items count="5">
        <item x="2"/>
        <item x="1"/>
        <item x="0"/>
        <item x="3"/>
        <item t="default"/>
      </items>
    </pivotField>
    <pivotField showAll="0">
      <items count="4">
        <item x="0"/>
        <item x="1"/>
        <item x="2"/>
        <item t="default"/>
      </items>
    </pivotField>
    <pivotField showAll="0">
      <items count="9">
        <item h="1" x="1"/>
        <item x="6"/>
        <item h="1" x="2"/>
        <item h="1" x="4"/>
        <item h="1" x="3"/>
        <item h="1" x="5"/>
        <item h="1" x="0"/>
        <item h="1" x="7"/>
        <item t="default"/>
      </items>
    </pivotField>
    <pivotField showAll="0"/>
    <pivotField showAll="0"/>
    <pivotField dataField="1"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8"/>
    <field x="7"/>
  </rowFields>
  <rowItems count="22">
    <i>
      <x v="1"/>
    </i>
    <i r="1">
      <x v="1"/>
    </i>
    <i r="1">
      <x v="2"/>
    </i>
    <i r="1">
      <x v="3"/>
    </i>
    <i r="1">
      <x v="4"/>
    </i>
    <i r="1">
      <x v="5"/>
    </i>
    <i r="1">
      <x v="6"/>
    </i>
    <i r="1">
      <x v="7"/>
    </i>
    <i r="1">
      <x v="8"/>
    </i>
    <i r="1">
      <x v="9"/>
    </i>
    <i r="1">
      <x v="10"/>
    </i>
    <i r="1">
      <x v="11"/>
    </i>
    <i r="1">
      <x v="12"/>
    </i>
    <i r="1">
      <x v="13"/>
    </i>
    <i r="1">
      <x v="14"/>
    </i>
    <i r="1">
      <x v="15"/>
    </i>
    <i r="1">
      <x v="16"/>
    </i>
    <i r="1">
      <x v="17"/>
    </i>
    <i r="1">
      <x v="18"/>
    </i>
    <i r="1">
      <x v="19"/>
    </i>
    <i r="1">
      <x v="20"/>
    </i>
    <i t="grand">
      <x/>
    </i>
  </rowItems>
  <colItems count="1">
    <i/>
  </colItems>
  <dataFields count="1">
    <dataField name="Sum of Total Sales" fld="6"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EFD4C9B-3F7A-43FF-B350-6DA0D023BF1E}" sourceName="salesperson">
  <pivotTables>
    <pivotTable tabId="4" name="PivotTable2"/>
  </pivotTables>
  <data>
    <tabular pivotCacheId="395611952">
      <items count="8">
        <i x="1"/>
        <i x="6"/>
        <i x="2"/>
        <i x="4"/>
        <i x="3"/>
        <i x="5"/>
        <i x="0" s="1"/>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DB50287-AAA5-4D5F-AE8C-E345FE0A0C37}" sourceName="Product">
  <pivotTables>
    <pivotTable tabId="4" name="PivotTable2"/>
    <pivotTable tabId="5" name="PivotTable3"/>
    <pivotTable tabId="3" name="PivotTable1"/>
  </pivotTables>
  <data>
    <tabular pivotCacheId="39561195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F9018E6-893D-4A17-8D17-1B51F4CB31A5}" sourceName="Region">
  <pivotTables>
    <pivotTable tabId="4" name="PivotTable2"/>
    <pivotTable tabId="5" name="PivotTable3"/>
    <pivotTable tabId="3" name="PivotTable1"/>
  </pivotTables>
  <data>
    <tabular pivotCacheId="395611952">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D5C8C9D4-A6CE-44EA-881B-40852D381735}" cache="Slicer_salesperson" caption="salesperson" rowHeight="234950"/>
  <slicer name="Product" xr10:uid="{76362BF0-9DED-4870-AF05-FA0F79CB7017}" cache="Slicer_Product" caption="Product" rowHeight="234950"/>
  <slicer name="Region" xr10:uid="{BBC79922-7312-4347-8205-66A5D8041D6A}"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834A7F-6C10-46AC-9FFB-B287DDCC2FED}" name="Table1" displayName="Table1" ref="A1:G21" totalsRowShown="0" headerRowDxfId="1">
  <autoFilter ref="A1:G21" xr:uid="{B3834A7F-6C10-46AC-9FFB-B287DDCC2FED}"/>
  <tableColumns count="7">
    <tableColumn id="1" xr3:uid="{5CE3453B-E673-436B-95A3-E635F69DFC0A}" name="Order Date" dataDxfId="0"/>
    <tableColumn id="2" xr3:uid="{72AC9823-A088-4257-BA79-D9F7AD28FCE0}" name="Region"/>
    <tableColumn id="3" xr3:uid="{6F6163BC-C733-43A2-BFA9-4999AF8721ED}" name="Product"/>
    <tableColumn id="4" xr3:uid="{5CF6421A-EB55-4FE6-B911-BB8BEAB05709}" name="salesperson"/>
    <tableColumn id="5" xr3:uid="{D6BB91E2-DF0C-403E-A39B-A5931F9DC639}" name="Quantity"/>
    <tableColumn id="6" xr3:uid="{230FD312-1C29-4628-8078-570AF720F81C}" name="Unit Price"/>
    <tableColumn id="7" xr3:uid="{22677934-33A7-4156-B133-8BA3844DFE3D}" name="Total Sales">
      <calculatedColumnFormula>E2*F2</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2A4CD-81FF-4C6C-8DF6-3FF817080D10}">
  <dimension ref="A3:B8"/>
  <sheetViews>
    <sheetView workbookViewId="0">
      <selection activeCell="L17" sqref="L17"/>
    </sheetView>
  </sheetViews>
  <sheetFormatPr defaultRowHeight="14.4" x14ac:dyDescent="0.3"/>
  <cols>
    <col min="1" max="1" width="12.5546875" bestFit="1" customWidth="1"/>
    <col min="2" max="2" width="16.44140625" bestFit="1" customWidth="1"/>
  </cols>
  <sheetData>
    <row r="3" spans="1:2" x14ac:dyDescent="0.3">
      <c r="A3" s="3" t="s">
        <v>22</v>
      </c>
      <c r="B3" t="s">
        <v>24</v>
      </c>
    </row>
    <row r="4" spans="1:2" x14ac:dyDescent="0.3">
      <c r="A4" s="4" t="s">
        <v>9</v>
      </c>
      <c r="B4" s="9">
        <v>227000</v>
      </c>
    </row>
    <row r="5" spans="1:2" x14ac:dyDescent="0.3">
      <c r="A5" s="4" t="s">
        <v>8</v>
      </c>
      <c r="B5" s="9">
        <v>304000</v>
      </c>
    </row>
    <row r="6" spans="1:2" x14ac:dyDescent="0.3">
      <c r="A6" s="4" t="s">
        <v>7</v>
      </c>
      <c r="B6" s="9">
        <v>384500</v>
      </c>
    </row>
    <row r="7" spans="1:2" x14ac:dyDescent="0.3">
      <c r="A7" s="4" t="s">
        <v>10</v>
      </c>
      <c r="B7" s="9">
        <v>335000</v>
      </c>
    </row>
    <row r="8" spans="1:2" x14ac:dyDescent="0.3">
      <c r="A8" s="4" t="s">
        <v>23</v>
      </c>
      <c r="B8" s="9">
        <v>1250500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484F4-D3BA-48C4-B0E0-EB1427C2904D}">
  <dimension ref="A3:B7"/>
  <sheetViews>
    <sheetView tabSelected="1" workbookViewId="0">
      <selection activeCell="D18" sqref="D18"/>
    </sheetView>
  </sheetViews>
  <sheetFormatPr defaultRowHeight="14.4" x14ac:dyDescent="0.3"/>
  <cols>
    <col min="1" max="1" width="13.33203125" bestFit="1" customWidth="1"/>
    <col min="2" max="2" width="16.44140625" bestFit="1" customWidth="1"/>
  </cols>
  <sheetData>
    <row r="3" spans="1:2" x14ac:dyDescent="0.3">
      <c r="A3" s="3" t="s">
        <v>22</v>
      </c>
      <c r="B3" t="s">
        <v>24</v>
      </c>
    </row>
    <row r="4" spans="1:2" x14ac:dyDescent="0.3">
      <c r="A4" s="4" t="s">
        <v>11</v>
      </c>
      <c r="B4" s="9">
        <v>100000</v>
      </c>
    </row>
    <row r="5" spans="1:2" x14ac:dyDescent="0.3">
      <c r="A5" s="4" t="s">
        <v>12</v>
      </c>
      <c r="B5" s="9">
        <v>55500</v>
      </c>
    </row>
    <row r="6" spans="1:2" x14ac:dyDescent="0.3">
      <c r="A6" s="4" t="s">
        <v>13</v>
      </c>
      <c r="B6" s="9">
        <v>58000</v>
      </c>
    </row>
    <row r="7" spans="1:2" x14ac:dyDescent="0.3">
      <c r="A7" s="4" t="s">
        <v>38</v>
      </c>
      <c r="B7" s="9">
        <v>213500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7B6E3-B1C1-4C9F-B87E-AE1FF14EE842}">
  <dimension ref="A3:B25"/>
  <sheetViews>
    <sheetView workbookViewId="0">
      <selection activeCell="N11" sqref="N11"/>
    </sheetView>
  </sheetViews>
  <sheetFormatPr defaultRowHeight="14.4" x14ac:dyDescent="0.3"/>
  <cols>
    <col min="1" max="1" width="12.5546875" bestFit="1" customWidth="1"/>
    <col min="2" max="2" width="16.44140625" bestFit="1" customWidth="1"/>
  </cols>
  <sheetData>
    <row r="3" spans="1:2" x14ac:dyDescent="0.3">
      <c r="A3" s="3" t="s">
        <v>22</v>
      </c>
      <c r="B3" t="s">
        <v>24</v>
      </c>
    </row>
    <row r="4" spans="1:2" x14ac:dyDescent="0.3">
      <c r="A4" s="4" t="s">
        <v>25</v>
      </c>
      <c r="B4" s="9">
        <v>1250500</v>
      </c>
    </row>
    <row r="5" spans="1:2" x14ac:dyDescent="0.3">
      <c r="A5" s="5" t="s">
        <v>44</v>
      </c>
      <c r="B5" s="9">
        <v>100000</v>
      </c>
    </row>
    <row r="6" spans="1:2" x14ac:dyDescent="0.3">
      <c r="A6" s="5" t="s">
        <v>26</v>
      </c>
      <c r="B6" s="9">
        <v>60000</v>
      </c>
    </row>
    <row r="7" spans="1:2" x14ac:dyDescent="0.3">
      <c r="A7" s="5" t="s">
        <v>33</v>
      </c>
      <c r="B7" s="9">
        <v>30000</v>
      </c>
    </row>
    <row r="8" spans="1:2" x14ac:dyDescent="0.3">
      <c r="A8" s="5" t="s">
        <v>35</v>
      </c>
      <c r="B8" s="9">
        <v>52000</v>
      </c>
    </row>
    <row r="9" spans="1:2" x14ac:dyDescent="0.3">
      <c r="A9" s="5" t="s">
        <v>28</v>
      </c>
      <c r="B9" s="9">
        <v>72000</v>
      </c>
    </row>
    <row r="10" spans="1:2" x14ac:dyDescent="0.3">
      <c r="A10" s="5" t="s">
        <v>39</v>
      </c>
      <c r="B10" s="9">
        <v>56000</v>
      </c>
    </row>
    <row r="11" spans="1:2" x14ac:dyDescent="0.3">
      <c r="A11" s="5" t="s">
        <v>42</v>
      </c>
      <c r="B11" s="9">
        <v>51000</v>
      </c>
    </row>
    <row r="12" spans="1:2" x14ac:dyDescent="0.3">
      <c r="A12" s="5" t="s">
        <v>30</v>
      </c>
      <c r="B12" s="9">
        <v>95000</v>
      </c>
    </row>
    <row r="13" spans="1:2" x14ac:dyDescent="0.3">
      <c r="A13" s="5" t="s">
        <v>45</v>
      </c>
      <c r="B13" s="9">
        <v>58000</v>
      </c>
    </row>
    <row r="14" spans="1:2" x14ac:dyDescent="0.3">
      <c r="A14" s="5" t="s">
        <v>40</v>
      </c>
      <c r="B14" s="9">
        <v>53000</v>
      </c>
    </row>
    <row r="15" spans="1:2" x14ac:dyDescent="0.3">
      <c r="A15" s="5" t="s">
        <v>32</v>
      </c>
      <c r="B15" s="9">
        <v>63000</v>
      </c>
    </row>
    <row r="16" spans="1:2" x14ac:dyDescent="0.3">
      <c r="A16" s="5" t="s">
        <v>36</v>
      </c>
      <c r="B16" s="9">
        <v>54000</v>
      </c>
    </row>
    <row r="17" spans="1:2" x14ac:dyDescent="0.3">
      <c r="A17" s="5" t="s">
        <v>46</v>
      </c>
      <c r="B17" s="9">
        <v>99000</v>
      </c>
    </row>
    <row r="18" spans="1:2" x14ac:dyDescent="0.3">
      <c r="A18" s="5" t="s">
        <v>27</v>
      </c>
      <c r="B18" s="9">
        <v>78000</v>
      </c>
    </row>
    <row r="19" spans="1:2" x14ac:dyDescent="0.3">
      <c r="A19" s="5" t="s">
        <v>34</v>
      </c>
      <c r="B19" s="9">
        <v>31000</v>
      </c>
    </row>
    <row r="20" spans="1:2" x14ac:dyDescent="0.3">
      <c r="A20" s="5" t="s">
        <v>37</v>
      </c>
      <c r="B20" s="9">
        <v>54000</v>
      </c>
    </row>
    <row r="21" spans="1:2" x14ac:dyDescent="0.3">
      <c r="A21" s="5" t="s">
        <v>29</v>
      </c>
      <c r="B21" s="9">
        <v>55500</v>
      </c>
    </row>
    <row r="22" spans="1:2" x14ac:dyDescent="0.3">
      <c r="A22" s="5" t="s">
        <v>41</v>
      </c>
      <c r="B22" s="9">
        <v>57000</v>
      </c>
    </row>
    <row r="23" spans="1:2" x14ac:dyDescent="0.3">
      <c r="A23" s="5" t="s">
        <v>43</v>
      </c>
      <c r="B23" s="9">
        <v>52000</v>
      </c>
    </row>
    <row r="24" spans="1:2" x14ac:dyDescent="0.3">
      <c r="A24" s="5" t="s">
        <v>31</v>
      </c>
      <c r="B24" s="9">
        <v>80000</v>
      </c>
    </row>
    <row r="25" spans="1:2" x14ac:dyDescent="0.3">
      <c r="A25" s="4" t="s">
        <v>23</v>
      </c>
      <c r="B25" s="9">
        <v>1250500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60A7-78FE-4840-9138-9BCCF91F4AFD}">
  <dimension ref="B1:F17"/>
  <sheetViews>
    <sheetView workbookViewId="0">
      <selection activeCell="K8" sqref="K8"/>
    </sheetView>
  </sheetViews>
  <sheetFormatPr defaultRowHeight="14.4" x14ac:dyDescent="0.3"/>
  <cols>
    <col min="2" max="2" width="12.44140625" bestFit="1" customWidth="1"/>
    <col min="5" max="5" width="9.5546875" bestFit="1" customWidth="1"/>
  </cols>
  <sheetData>
    <row r="1" spans="2:6" ht="14.4" customHeight="1" x14ac:dyDescent="0.3">
      <c r="B1" s="7">
        <f>SUM(Table1[Total Sales])</f>
        <v>1250500</v>
      </c>
      <c r="D1" s="8">
        <f>SUM(Table1[Quantity])</f>
        <v>45</v>
      </c>
      <c r="E1" s="2"/>
      <c r="F1">
        <f>COUNTA([1]Table1!A2:A21)</f>
        <v>20</v>
      </c>
    </row>
    <row r="17" spans="6:6" x14ac:dyDescent="0.3">
      <c r="F1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4CCF-6688-4DA3-A9D2-AE432983A5F1}">
  <dimension ref="A1:G21"/>
  <sheetViews>
    <sheetView workbookViewId="0">
      <selection activeCell="F13" sqref="F13"/>
    </sheetView>
  </sheetViews>
  <sheetFormatPr defaultRowHeight="14.4" x14ac:dyDescent="0.3"/>
  <cols>
    <col min="1" max="1" width="13.33203125" customWidth="1"/>
    <col min="2" max="2" width="9.21875" customWidth="1"/>
    <col min="3" max="3" width="10.21875" customWidth="1"/>
    <col min="4" max="4" width="13.88671875" customWidth="1"/>
    <col min="5" max="5" width="11.21875" customWidth="1"/>
    <col min="6" max="6" width="12" customWidth="1"/>
    <col min="7" max="7" width="12.88671875" customWidth="1"/>
  </cols>
  <sheetData>
    <row r="1" spans="1:7" ht="22.8" customHeight="1" x14ac:dyDescent="0.3">
      <c r="A1" s="1" t="s">
        <v>0</v>
      </c>
      <c r="B1" s="1" t="s">
        <v>1</v>
      </c>
      <c r="C1" s="1" t="s">
        <v>2</v>
      </c>
      <c r="D1" s="1" t="s">
        <v>3</v>
      </c>
      <c r="E1" s="1" t="s">
        <v>4</v>
      </c>
      <c r="F1" s="1" t="s">
        <v>5</v>
      </c>
      <c r="G1" s="1" t="s">
        <v>6</v>
      </c>
    </row>
    <row r="2" spans="1:7" x14ac:dyDescent="0.3">
      <c r="A2" s="2">
        <v>45658</v>
      </c>
      <c r="B2" t="s">
        <v>7</v>
      </c>
      <c r="C2" t="s">
        <v>11</v>
      </c>
      <c r="D2" t="s">
        <v>14</v>
      </c>
      <c r="E2">
        <v>2</v>
      </c>
      <c r="F2">
        <v>50000</v>
      </c>
      <c r="G2">
        <f>E2*F2</f>
        <v>100000</v>
      </c>
    </row>
    <row r="3" spans="1:7" x14ac:dyDescent="0.3">
      <c r="A3" s="2">
        <v>45659</v>
      </c>
      <c r="B3" t="s">
        <v>8</v>
      </c>
      <c r="C3" t="s">
        <v>12</v>
      </c>
      <c r="D3" t="s">
        <v>15</v>
      </c>
      <c r="E3">
        <v>3</v>
      </c>
      <c r="F3">
        <v>20000</v>
      </c>
      <c r="G3">
        <f t="shared" ref="G3:G21" si="0">E3*F3</f>
        <v>60000</v>
      </c>
    </row>
    <row r="4" spans="1:7" x14ac:dyDescent="0.3">
      <c r="A4" s="2">
        <v>45660</v>
      </c>
      <c r="B4" t="s">
        <v>9</v>
      </c>
      <c r="C4" t="s">
        <v>13</v>
      </c>
      <c r="D4" t="s">
        <v>16</v>
      </c>
      <c r="E4">
        <v>1</v>
      </c>
      <c r="F4">
        <v>30000</v>
      </c>
      <c r="G4">
        <f t="shared" si="0"/>
        <v>30000</v>
      </c>
    </row>
    <row r="5" spans="1:7" x14ac:dyDescent="0.3">
      <c r="A5" s="2">
        <v>45661</v>
      </c>
      <c r="B5" t="s">
        <v>10</v>
      </c>
      <c r="C5" t="s">
        <v>11</v>
      </c>
      <c r="D5" t="s">
        <v>17</v>
      </c>
      <c r="E5">
        <v>1</v>
      </c>
      <c r="F5">
        <v>52000</v>
      </c>
      <c r="G5">
        <f t="shared" si="0"/>
        <v>52000</v>
      </c>
    </row>
    <row r="6" spans="1:7" x14ac:dyDescent="0.3">
      <c r="A6" s="2">
        <v>45662</v>
      </c>
      <c r="B6" t="s">
        <v>7</v>
      </c>
      <c r="C6" t="s">
        <v>12</v>
      </c>
      <c r="D6" t="s">
        <v>18</v>
      </c>
      <c r="E6">
        <v>4</v>
      </c>
      <c r="F6">
        <v>18000</v>
      </c>
      <c r="G6">
        <f t="shared" si="0"/>
        <v>72000</v>
      </c>
    </row>
    <row r="7" spans="1:7" x14ac:dyDescent="0.3">
      <c r="A7" s="2">
        <v>45663</v>
      </c>
      <c r="B7" t="s">
        <v>8</v>
      </c>
      <c r="C7" t="s">
        <v>13</v>
      </c>
      <c r="D7" t="s">
        <v>19</v>
      </c>
      <c r="E7">
        <v>2</v>
      </c>
      <c r="F7">
        <v>28000</v>
      </c>
      <c r="G7">
        <f t="shared" si="0"/>
        <v>56000</v>
      </c>
    </row>
    <row r="8" spans="1:7" x14ac:dyDescent="0.3">
      <c r="A8" s="2">
        <v>45664</v>
      </c>
      <c r="B8" t="s">
        <v>9</v>
      </c>
      <c r="C8" t="s">
        <v>11</v>
      </c>
      <c r="D8" t="s">
        <v>20</v>
      </c>
      <c r="E8">
        <v>1</v>
      </c>
      <c r="F8">
        <v>51000</v>
      </c>
      <c r="G8">
        <f t="shared" si="0"/>
        <v>51000</v>
      </c>
    </row>
    <row r="9" spans="1:7" x14ac:dyDescent="0.3">
      <c r="A9" s="2">
        <v>45665</v>
      </c>
      <c r="B9" t="s">
        <v>10</v>
      </c>
      <c r="C9" t="s">
        <v>12</v>
      </c>
      <c r="D9" t="s">
        <v>21</v>
      </c>
      <c r="E9">
        <v>5</v>
      </c>
      <c r="F9">
        <v>19000</v>
      </c>
      <c r="G9">
        <f t="shared" si="0"/>
        <v>95000</v>
      </c>
    </row>
    <row r="10" spans="1:7" x14ac:dyDescent="0.3">
      <c r="A10" s="2">
        <v>45666</v>
      </c>
      <c r="B10" t="s">
        <v>7</v>
      </c>
      <c r="C10" t="s">
        <v>13</v>
      </c>
      <c r="D10" t="s">
        <v>14</v>
      </c>
      <c r="E10">
        <v>2</v>
      </c>
      <c r="F10">
        <v>29000</v>
      </c>
      <c r="G10">
        <f t="shared" si="0"/>
        <v>58000</v>
      </c>
    </row>
    <row r="11" spans="1:7" x14ac:dyDescent="0.3">
      <c r="A11" s="2">
        <v>45667</v>
      </c>
      <c r="B11" t="s">
        <v>8</v>
      </c>
      <c r="C11" t="s">
        <v>11</v>
      </c>
      <c r="D11" t="s">
        <v>15</v>
      </c>
      <c r="E11">
        <v>1</v>
      </c>
      <c r="F11">
        <v>53000</v>
      </c>
      <c r="G11">
        <f t="shared" si="0"/>
        <v>53000</v>
      </c>
    </row>
    <row r="12" spans="1:7" x14ac:dyDescent="0.3">
      <c r="A12" s="2">
        <v>45668</v>
      </c>
      <c r="B12" t="s">
        <v>9</v>
      </c>
      <c r="C12" t="s">
        <v>12</v>
      </c>
      <c r="D12" t="s">
        <v>16</v>
      </c>
      <c r="E12">
        <v>3</v>
      </c>
      <c r="F12">
        <v>21000</v>
      </c>
      <c r="G12">
        <f t="shared" si="0"/>
        <v>63000</v>
      </c>
    </row>
    <row r="13" spans="1:7" x14ac:dyDescent="0.3">
      <c r="A13" s="2">
        <v>45669</v>
      </c>
      <c r="B13" t="s">
        <v>10</v>
      </c>
      <c r="C13" t="s">
        <v>13</v>
      </c>
      <c r="D13" t="s">
        <v>17</v>
      </c>
      <c r="E13">
        <v>2</v>
      </c>
      <c r="F13">
        <v>27000</v>
      </c>
      <c r="G13">
        <f t="shared" si="0"/>
        <v>54000</v>
      </c>
    </row>
    <row r="14" spans="1:7" x14ac:dyDescent="0.3">
      <c r="A14" s="2">
        <v>45670</v>
      </c>
      <c r="B14" t="s">
        <v>7</v>
      </c>
      <c r="C14" t="s">
        <v>11</v>
      </c>
      <c r="D14" t="s">
        <v>18</v>
      </c>
      <c r="E14">
        <v>2</v>
      </c>
      <c r="F14">
        <v>49500</v>
      </c>
      <c r="G14">
        <f t="shared" si="0"/>
        <v>99000</v>
      </c>
    </row>
    <row r="15" spans="1:7" x14ac:dyDescent="0.3">
      <c r="A15" s="2">
        <v>45671</v>
      </c>
      <c r="B15" t="s">
        <v>8</v>
      </c>
      <c r="C15" t="s">
        <v>12</v>
      </c>
      <c r="D15" t="s">
        <v>19</v>
      </c>
      <c r="E15">
        <v>4</v>
      </c>
      <c r="F15">
        <v>19500</v>
      </c>
      <c r="G15">
        <f t="shared" si="0"/>
        <v>78000</v>
      </c>
    </row>
    <row r="16" spans="1:7" x14ac:dyDescent="0.3">
      <c r="A16" s="2">
        <v>45672</v>
      </c>
      <c r="B16" t="s">
        <v>9</v>
      </c>
      <c r="C16" t="s">
        <v>13</v>
      </c>
      <c r="D16" t="s">
        <v>20</v>
      </c>
      <c r="E16">
        <v>1</v>
      </c>
      <c r="F16">
        <v>31000</v>
      </c>
      <c r="G16">
        <f t="shared" si="0"/>
        <v>31000</v>
      </c>
    </row>
    <row r="17" spans="1:7" x14ac:dyDescent="0.3">
      <c r="A17" s="2">
        <v>45673</v>
      </c>
      <c r="B17" t="s">
        <v>10</v>
      </c>
      <c r="C17" t="s">
        <v>11</v>
      </c>
      <c r="D17" t="s">
        <v>21</v>
      </c>
      <c r="E17">
        <v>1</v>
      </c>
      <c r="F17">
        <v>54000</v>
      </c>
      <c r="G17">
        <f t="shared" si="0"/>
        <v>54000</v>
      </c>
    </row>
    <row r="18" spans="1:7" x14ac:dyDescent="0.3">
      <c r="A18" s="2">
        <v>45674</v>
      </c>
      <c r="B18" t="s">
        <v>7</v>
      </c>
      <c r="C18" t="s">
        <v>12</v>
      </c>
      <c r="D18" t="s">
        <v>14</v>
      </c>
      <c r="E18">
        <v>3</v>
      </c>
      <c r="F18">
        <v>18500</v>
      </c>
      <c r="G18">
        <f t="shared" si="0"/>
        <v>55500</v>
      </c>
    </row>
    <row r="19" spans="1:7" x14ac:dyDescent="0.3">
      <c r="A19" s="2">
        <v>45675</v>
      </c>
      <c r="B19" t="s">
        <v>8</v>
      </c>
      <c r="C19" t="s">
        <v>13</v>
      </c>
      <c r="D19" t="s">
        <v>15</v>
      </c>
      <c r="E19">
        <v>2</v>
      </c>
      <c r="F19">
        <v>28500</v>
      </c>
      <c r="G19">
        <f t="shared" si="0"/>
        <v>57000</v>
      </c>
    </row>
    <row r="20" spans="1:7" x14ac:dyDescent="0.3">
      <c r="A20" s="2">
        <v>45676</v>
      </c>
      <c r="B20" t="s">
        <v>9</v>
      </c>
      <c r="C20" t="s">
        <v>11</v>
      </c>
      <c r="D20" t="s">
        <v>16</v>
      </c>
      <c r="E20">
        <v>1</v>
      </c>
      <c r="F20">
        <v>52000</v>
      </c>
      <c r="G20">
        <f t="shared" si="0"/>
        <v>52000</v>
      </c>
    </row>
    <row r="21" spans="1:7" x14ac:dyDescent="0.3">
      <c r="A21" s="2">
        <v>45677</v>
      </c>
      <c r="B21" t="s">
        <v>10</v>
      </c>
      <c r="C21" t="s">
        <v>12</v>
      </c>
      <c r="D21" t="s">
        <v>17</v>
      </c>
      <c r="E21">
        <v>4</v>
      </c>
      <c r="F21">
        <v>20000</v>
      </c>
      <c r="G21">
        <f t="shared" si="0"/>
        <v>80000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by Region</vt:lpstr>
      <vt:lpstr>Sales by Product</vt:lpstr>
      <vt:lpstr>Monthly Sales</vt:lpstr>
      <vt:lpstr>Sales Dashboard</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shreedevi2486@gmail.com</dc:creator>
  <cp:lastModifiedBy>shreedevi2486@gmail.com</cp:lastModifiedBy>
  <dcterms:created xsi:type="dcterms:W3CDTF">2026-01-12T14:01:18Z</dcterms:created>
  <dcterms:modified xsi:type="dcterms:W3CDTF">2026-01-12T17:48:07Z</dcterms:modified>
</cp:coreProperties>
</file>